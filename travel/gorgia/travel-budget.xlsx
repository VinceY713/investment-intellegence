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费用明细" sheetId="1" state="visible" r:id="rId1"/>
    <sheet name="汇总" sheetId="2" state="visible" r:id="rId2"/>
  </sheets>
  <definedNames>
    <definedName name="_xlnm._FilterDatabase" localSheetId="0" hidden="1">'费用明细'!$A$14:$L$57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0"/>
    <numFmt numFmtId="165" formatCode="#,##0.00;[Red](#,##0.00);-"/>
    <numFmt numFmtId="166" formatCode="¥#,##0.00;[Red](¥#,##0.00);-"/>
    <numFmt numFmtId="167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0F3B4C"/>
      <sz val="16"/>
    </font>
    <font>
      <name val="Arial"/>
      <color rgb="00666666"/>
      <sz val="9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  <font>
      <name val="Arial"/>
      <color rgb="000000FF"/>
      <sz val="10"/>
    </font>
    <font>
      <name val="Arial"/>
      <b val="1"/>
      <sz val="11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0F3B4C"/>
      </patternFill>
    </fill>
    <fill>
      <patternFill patternType="solid">
        <fgColor rgb="00FFFF00"/>
      </patternFill>
    </fill>
    <fill>
      <patternFill patternType="solid">
        <fgColor rgb="00F7F1E2"/>
      </patternFill>
    </fill>
  </fills>
  <borders count="3">
    <border>
      <left/>
      <right/>
      <top/>
      <bottom/>
      <diagonal/>
    </border>
    <border>
      <left style="thin">
        <color rgb="00D0D5D2"/>
      </left>
      <right style="thin">
        <color rgb="00D0D5D2"/>
      </right>
      <top style="thin">
        <color rgb="00D0D5D2"/>
      </top>
      <bottom style="thin">
        <color rgb="00D0D5D2"/>
      </bottom>
    </border>
    <border>
      <top style="thin">
        <color rgb="000F3B4C"/>
      </top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0" fontId="3" fillId="0" borderId="1" pivotButton="0" quotePrefix="0" xfId="0"/>
    <xf numFmtId="164" fontId="6" fillId="0" borderId="1" pivotButton="0" quotePrefix="0" xfId="0"/>
    <xf numFmtId="164" fontId="6" fillId="3" borderId="1" pivotButton="0" quotePrefix="0" xfId="0"/>
    <xf numFmtId="0" fontId="6" fillId="3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pivotButton="0" quotePrefix="0" xfId="0"/>
    <xf numFmtId="165" fontId="6" fillId="3" borderId="1" pivotButton="0" quotePrefix="0" xfId="0"/>
    <xf numFmtId="0" fontId="6" fillId="3" borderId="1" applyAlignment="1" pivotButton="0" quotePrefix="0" xfId="0">
      <alignment horizontal="center"/>
    </xf>
    <xf numFmtId="165" fontId="5" fillId="0" borderId="1" pivotButton="0" quotePrefix="0" xfId="0"/>
    <xf numFmtId="164" fontId="5" fillId="0" borderId="1" pivotButton="0" quotePrefix="0" xfId="0"/>
    <xf numFmtId="166" fontId="5" fillId="0" borderId="1" pivotButton="0" quotePrefix="0" xfId="0"/>
    <xf numFmtId="0" fontId="2" fillId="0" borderId="1" applyAlignment="1" pivotButton="0" quotePrefix="0" xfId="0">
      <alignment horizontal="center"/>
    </xf>
    <xf numFmtId="0" fontId="0" fillId="0" borderId="2" pivotButton="0" quotePrefix="0" xfId="0"/>
    <xf numFmtId="0" fontId="3" fillId="0" borderId="2" pivotButton="0" quotePrefix="0" xfId="0"/>
    <xf numFmtId="166" fontId="7" fillId="4" borderId="2" pivotButton="0" quotePrefix="0" xfId="0"/>
    <xf numFmtId="166" fontId="0" fillId="0" borderId="1" pivotButton="0" quotePrefix="0" xfId="0"/>
    <xf numFmtId="167" fontId="0" fillId="0" borderId="1" pivotButton="0" quotePrefix="0" xfId="0"/>
    <xf numFmtId="166" fontId="3" fillId="0" borderId="2" pivotButton="0" quotePrefix="0" xfId="0"/>
    <xf numFmtId="167" fontId="0" fillId="0" borderId="2" pivotButton="0" quotePrefix="0" xfId="0"/>
    <xf numFmtId="165" fontId="0" fillId="0" borderId="1" pivotButton="0" quotePrefix="0" xfId="0"/>
    <xf numFmtId="0" fontId="8" fillId="0" borderId="0" pivotButton="0" quotePrefix="0" xfId="0"/>
    <xf numFmtId="166" fontId="8" fillId="4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行程手册</author>
  </authors>
  <commentList>
    <comment ref="C7" authorId="0" shapeId="0">
      <text>
        <t>占位值。出发前用实时汇率替换。</t>
      </text>
    </comment>
    <comment ref="C8" authorId="0" shapeId="0">
      <text>
        <t>占位值。1 USD 约合 2.7 GEL。</t>
      </text>
    </comment>
    <comment ref="C9" authorId="0" shapeId="0">
      <text>
        <t>占位值。1 USD 约合 390 AMD。</t>
      </text>
    </comment>
    <comment ref="C10" authorId="0" shapeId="0">
      <text>
        <t>占位值。1 USD 约合 12,700 UZS。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34" customWidth="1" min="4" max="4"/>
    <col width="11" customWidth="1" min="5" max="5"/>
    <col width="8" customWidth="1" min="6" max="6"/>
    <col width="7" customWidth="1" min="7" max="7"/>
    <col width="12" customWidth="1" min="8" max="8"/>
    <col width="10" customWidth="1" min="9" max="9"/>
    <col width="13" customWidth="1" min="10" max="10"/>
    <col width="10" customWidth="1" min="11" max="11"/>
    <col width="12" customWidth="1" min="12" max="12"/>
  </cols>
  <sheetData>
    <row r="1">
      <c r="A1" s="1" t="inlineStr">
        <is>
          <t>格鲁吉亚 · 亚美尼亚 · 乌兹别克斯坦　旅行费用明细</t>
        </is>
      </c>
    </row>
    <row r="2">
      <c r="A2" s="2" t="inlineStr">
        <is>
          <t>2026.9.18 – 10.4 · 2 人 · 所有外币按下方汇率自动换算人民币</t>
        </is>
      </c>
    </row>
    <row r="4">
      <c r="A4" s="3" t="inlineStr">
        <is>
          <t>汇率表</t>
        </is>
      </c>
      <c r="C4" s="2" t="inlineStr">
        <is>
          <t>← 黄色格子是你要填/改的，其余是公式，别动</t>
        </is>
      </c>
    </row>
    <row r="5">
      <c r="A5" s="4" t="inlineStr">
        <is>
          <t>币种</t>
        </is>
      </c>
      <c r="B5" s="4" t="inlineStr">
        <is>
          <t>代码</t>
        </is>
      </c>
      <c r="C5" s="4" t="inlineStr">
        <is>
          <t>1 单位 = 人民币</t>
        </is>
      </c>
    </row>
    <row r="6">
      <c r="A6" s="5" t="inlineStr">
        <is>
          <t>人民币</t>
        </is>
      </c>
      <c r="B6" s="6" t="inlineStr">
        <is>
          <t>CNY</t>
        </is>
      </c>
      <c r="C6" s="7" t="n">
        <v>1</v>
      </c>
    </row>
    <row r="7">
      <c r="A7" s="5" t="inlineStr">
        <is>
          <t>美元</t>
        </is>
      </c>
      <c r="B7" s="6" t="inlineStr">
        <is>
          <t>USD</t>
        </is>
      </c>
      <c r="C7" s="8" t="n">
        <v>7.1</v>
      </c>
    </row>
    <row r="8">
      <c r="A8" s="5" t="inlineStr">
        <is>
          <t>格鲁吉亚拉里</t>
        </is>
      </c>
      <c r="B8" s="6" t="inlineStr">
        <is>
          <t>GEL</t>
        </is>
      </c>
      <c r="C8" s="8" t="n">
        <v>2.63</v>
      </c>
    </row>
    <row r="9">
      <c r="A9" s="5" t="inlineStr">
        <is>
          <t>亚美尼亚德拉姆</t>
        </is>
      </c>
      <c r="B9" s="6" t="inlineStr">
        <is>
          <t>AMD</t>
        </is>
      </c>
      <c r="C9" s="8" t="n">
        <v>0.018</v>
      </c>
    </row>
    <row r="10">
      <c r="A10" s="5" t="inlineStr">
        <is>
          <t>乌兹别克苏姆</t>
        </is>
      </c>
      <c r="B10" s="6" t="inlineStr">
        <is>
          <t>UZS</t>
        </is>
      </c>
      <c r="C10" s="8" t="n">
        <v>0.00056</v>
      </c>
    </row>
    <row r="12">
      <c r="A12" s="2" t="inlineStr">
        <is>
          <t>汇率来源日期：</t>
        </is>
      </c>
      <c r="C12" s="9" t="inlineStr">
        <is>
          <t>（填写查询日期）</t>
        </is>
      </c>
    </row>
    <row r="14" ht="22" customHeight="1">
      <c r="A14" s="10" t="inlineStr">
        <is>
          <t>日期</t>
        </is>
      </c>
      <c r="B14" s="10" t="inlineStr">
        <is>
          <t>类别</t>
        </is>
      </c>
      <c r="C14" s="10" t="inlineStr">
        <is>
          <t>项目</t>
        </is>
      </c>
      <c r="D14" s="10" t="inlineStr">
        <is>
          <t>说明</t>
        </is>
      </c>
      <c r="E14" s="10" t="inlineStr">
        <is>
          <t>单价</t>
        </is>
      </c>
      <c r="F14" s="10" t="inlineStr">
        <is>
          <t>币种</t>
        </is>
      </c>
      <c r="G14" s="10" t="inlineStr">
        <is>
          <t>数量</t>
        </is>
      </c>
      <c r="H14" s="10" t="inlineStr">
        <is>
          <t>原币小计</t>
        </is>
      </c>
      <c r="I14" s="10" t="inlineStr">
        <is>
          <t>汇率</t>
        </is>
      </c>
      <c r="J14" s="10" t="inlineStr">
        <is>
          <t>人民币</t>
        </is>
      </c>
      <c r="K14" s="10" t="inlineStr">
        <is>
          <t>状态</t>
        </is>
      </c>
      <c r="L14" s="10" t="inlineStr">
        <is>
          <t>支付方式</t>
        </is>
      </c>
    </row>
    <row r="15">
      <c r="A15" s="5" t="inlineStr"/>
      <c r="B15" s="5" t="inlineStr">
        <is>
          <t>国际机票</t>
        </is>
      </c>
      <c r="C15" s="5" t="inlineStr">
        <is>
          <t>MU285 浦东 → 第比利斯</t>
        </is>
      </c>
      <c r="D15" s="11" t="inlineStr">
        <is>
          <t>9.18 12:50–19:00</t>
        </is>
      </c>
      <c r="E15" s="12" t="n"/>
      <c r="F15" s="13" t="inlineStr">
        <is>
          <t>CNY</t>
        </is>
      </c>
      <c r="G15" s="13" t="n">
        <v>2</v>
      </c>
      <c r="H15" s="14">
        <f>IF(E15="","",E15*G15)</f>
        <v/>
      </c>
      <c r="I15" s="15">
        <f>IF(F15="","",IFERROR(INDEX($C$6:$C$10,MATCH(F15,$B$6:$B$10,0)),"查无此币种"))</f>
        <v/>
      </c>
      <c r="J15" s="16">
        <f>IF(H15="","",H15*I15)</f>
        <v/>
      </c>
      <c r="K15" s="17" t="inlineStr">
        <is>
          <t>待填</t>
        </is>
      </c>
      <c r="L15" s="11" t="inlineStr"/>
    </row>
    <row r="16">
      <c r="A16" s="5" t="inlineStr"/>
      <c r="B16" s="5" t="inlineStr">
        <is>
          <t>国际机票</t>
        </is>
      </c>
      <c r="C16" s="5" t="inlineStr">
        <is>
          <t>C6222 第比利斯 → 塔什干</t>
        </is>
      </c>
      <c r="D16" s="11" t="inlineStr">
        <is>
          <t>10.1 15:30–19:50</t>
        </is>
      </c>
      <c r="E16" s="12" t="n"/>
      <c r="F16" s="13" t="inlineStr">
        <is>
          <t>CNY</t>
        </is>
      </c>
      <c r="G16" s="13" t="n">
        <v>2</v>
      </c>
      <c r="H16" s="14">
        <f>IF(E16="","",E16*G16)</f>
        <v/>
      </c>
      <c r="I16" s="15">
        <f>IF(F16="","",IFERROR(INDEX($C$6:$C$10,MATCH(F16,$B$6:$B$10,0)),"查无此币种"))</f>
        <v/>
      </c>
      <c r="J16" s="16">
        <f>IF(H16="","",H16*I16)</f>
        <v/>
      </c>
      <c r="K16" s="17" t="inlineStr">
        <is>
          <t>待填</t>
        </is>
      </c>
      <c r="L16" s="11" t="inlineStr"/>
    </row>
    <row r="17">
      <c r="A17" s="5" t="inlineStr"/>
      <c r="B17" s="5" t="inlineStr">
        <is>
          <t>国际机票</t>
        </is>
      </c>
      <c r="C17" s="5" t="inlineStr">
        <is>
          <t>MU6038 塔什干 → 浦东</t>
        </is>
      </c>
      <c r="D17" s="11" t="inlineStr">
        <is>
          <t>10.3 20:20–05:50+1</t>
        </is>
      </c>
      <c r="E17" s="12" t="n"/>
      <c r="F17" s="13" t="inlineStr">
        <is>
          <t>CNY</t>
        </is>
      </c>
      <c r="G17" s="13" t="n">
        <v>2</v>
      </c>
      <c r="H17" s="14">
        <f>IF(E17="","",E17*G17)</f>
        <v/>
      </c>
      <c r="I17" s="15">
        <f>IF(F17="","",IFERROR(INDEX($C$6:$C$10,MATCH(F17,$B$6:$B$10,0)),"查无此币种"))</f>
        <v/>
      </c>
      <c r="J17" s="16">
        <f>IF(H17="","",H17*I17)</f>
        <v/>
      </c>
      <c r="K17" s="17" t="inlineStr">
        <is>
          <t>待填</t>
        </is>
      </c>
      <c r="L17" s="11" t="inlineStr"/>
    </row>
    <row r="18">
      <c r="A18" s="5" t="inlineStr"/>
      <c r="B18" s="5" t="inlineStr">
        <is>
          <t>保险</t>
        </is>
      </c>
      <c r="C18" s="5" t="inlineStr">
        <is>
          <t>境外旅行险</t>
        </is>
      </c>
      <c r="D18" s="11" t="inlineStr">
        <is>
          <t>须含亚美尼亚+乌兹别克，保额≥30,000 GEL</t>
        </is>
      </c>
      <c r="E18" s="12" t="n"/>
      <c r="F18" s="13" t="inlineStr">
        <is>
          <t>CNY</t>
        </is>
      </c>
      <c r="G18" s="13" t="n">
        <v>2</v>
      </c>
      <c r="H18" s="14">
        <f>IF(E18="","",E18*G18)</f>
        <v/>
      </c>
      <c r="I18" s="15">
        <f>IF(F18="","",IFERROR(INDEX($C$6:$C$10,MATCH(F18,$B$6:$B$10,0)),"查无此币种"))</f>
        <v/>
      </c>
      <c r="J18" s="16">
        <f>IF(H18="","",H18*I18)</f>
        <v/>
      </c>
      <c r="K18" s="17" t="inlineStr">
        <is>
          <t>待填</t>
        </is>
      </c>
      <c r="L18" s="11" t="inlineStr"/>
    </row>
    <row r="19">
      <c r="A19" s="5" t="inlineStr">
        <is>
          <t>9.18</t>
        </is>
      </c>
      <c r="B19" s="5" t="inlineStr">
        <is>
          <t>住宿</t>
        </is>
      </c>
      <c r="C19" s="5" t="inlineStr">
        <is>
          <t>第比利斯 · Avlabari</t>
        </is>
      </c>
      <c r="D19" s="11" t="inlineStr">
        <is>
          <t>5 晚 9.18–9.23</t>
        </is>
      </c>
      <c r="E19" s="12" t="n"/>
      <c r="F19" s="13" t="inlineStr">
        <is>
          <t>GEL</t>
        </is>
      </c>
      <c r="G19" s="13" t="n">
        <v>5</v>
      </c>
      <c r="H19" s="14">
        <f>IF(E19="","",E19*G19)</f>
        <v/>
      </c>
      <c r="I19" s="15">
        <f>IF(F19="","",IFERROR(INDEX($C$6:$C$10,MATCH(F19,$B$6:$B$10,0)),"查无此币种"))</f>
        <v/>
      </c>
      <c r="J19" s="16">
        <f>IF(H19="","",H19*I19)</f>
        <v/>
      </c>
      <c r="K19" s="17" t="inlineStr">
        <is>
          <t>待订</t>
        </is>
      </c>
      <c r="L19" s="11" t="inlineStr"/>
    </row>
    <row r="20">
      <c r="A20" s="5" t="inlineStr">
        <is>
          <t>9.23</t>
        </is>
      </c>
      <c r="B20" s="5" t="inlineStr">
        <is>
          <t>住宿</t>
        </is>
      </c>
      <c r="C20" s="5" t="inlineStr">
        <is>
          <t>巴统希尔顿</t>
        </is>
      </c>
      <c r="D20" s="11" t="inlineStr">
        <is>
          <t>1 晚，海景特大床，确认号 3522841428</t>
        </is>
      </c>
      <c r="E20" s="12" t="n">
        <v>179.95</v>
      </c>
      <c r="F20" s="13" t="inlineStr">
        <is>
          <t>USD</t>
        </is>
      </c>
      <c r="G20" s="13" t="n">
        <v>1</v>
      </c>
      <c r="H20" s="14">
        <f>IF(E20="","",E20*G20)</f>
        <v/>
      </c>
      <c r="I20" s="15">
        <f>IF(F20="","",IFERROR(INDEX($C$6:$C$10,MATCH(F20,$B$6:$B$10,0)),"查无此币种"))</f>
        <v/>
      </c>
      <c r="J20" s="16">
        <f>IF(H20="","",H20*I20)</f>
        <v/>
      </c>
      <c r="K20" s="17" t="inlineStr">
        <is>
          <t>已付</t>
        </is>
      </c>
      <c r="L20" s="11" t="inlineStr">
        <is>
          <t>Visa 3159</t>
        </is>
      </c>
    </row>
    <row r="21">
      <c r="A21" s="5" t="inlineStr">
        <is>
          <t>9.24</t>
        </is>
      </c>
      <c r="B21" s="5" t="inlineStr">
        <is>
          <t>住宿</t>
        </is>
      </c>
      <c r="C21" s="5" t="inlineStr">
        <is>
          <t>巴统民宿 42 Rustaveli Ave</t>
        </is>
      </c>
      <c r="D21" s="11" t="inlineStr">
        <is>
          <t>2 晚 9.24–9.26</t>
        </is>
      </c>
      <c r="E21" s="12" t="n"/>
      <c r="F21" s="13" t="inlineStr">
        <is>
          <t>GEL</t>
        </is>
      </c>
      <c r="G21" s="13" t="n">
        <v>2</v>
      </c>
      <c r="H21" s="14">
        <f>IF(E21="","",E21*G21)</f>
        <v/>
      </c>
      <c r="I21" s="15">
        <f>IF(F21="","",IFERROR(INDEX($C$6:$C$10,MATCH(F21,$B$6:$B$10,0)),"查无此币种"))</f>
        <v/>
      </c>
      <c r="J21" s="16">
        <f>IF(H21="","",H21*I21)</f>
        <v/>
      </c>
      <c r="K21" s="17" t="inlineStr">
        <is>
          <t>待填</t>
        </is>
      </c>
      <c r="L21" s="11" t="inlineStr"/>
    </row>
    <row r="22">
      <c r="A22" s="5" t="inlineStr">
        <is>
          <t>9.26</t>
        </is>
      </c>
      <c r="B22" s="5" t="inlineStr">
        <is>
          <t>住宿</t>
        </is>
      </c>
      <c r="C22" s="5" t="inlineStr">
        <is>
          <t>Monograph Freedom Square</t>
        </is>
      </c>
      <c r="D22" s="11" t="inlineStr">
        <is>
          <t>1 晚，订单号 1128150691023697</t>
        </is>
      </c>
      <c r="E22" s="12" t="n"/>
      <c r="F22" s="13" t="inlineStr">
        <is>
          <t>CNY</t>
        </is>
      </c>
      <c r="G22" s="13" t="n">
        <v>1</v>
      </c>
      <c r="H22" s="14">
        <f>IF(E22="","",E22*G22)</f>
        <v/>
      </c>
      <c r="I22" s="15">
        <f>IF(F22="","",IFERROR(INDEX($C$6:$C$10,MATCH(F22,$B$6:$B$10,0)),"查无此币种"))</f>
        <v/>
      </c>
      <c r="J22" s="16">
        <f>IF(H22="","",H22*I22)</f>
        <v/>
      </c>
      <c r="K22" s="17" t="inlineStr">
        <is>
          <t>待填</t>
        </is>
      </c>
      <c r="L22" s="11" t="inlineStr">
        <is>
          <t>携程</t>
        </is>
      </c>
    </row>
    <row r="23">
      <c r="A23" s="5" t="inlineStr">
        <is>
          <t>9.27</t>
        </is>
      </c>
      <c r="B23" s="5" t="inlineStr">
        <is>
          <t>住宿</t>
        </is>
      </c>
      <c r="C23" s="5" t="inlineStr">
        <is>
          <t>埃里温</t>
        </is>
      </c>
      <c r="D23" s="11" t="inlineStr">
        <is>
          <t>3 晚，朋友安排</t>
        </is>
      </c>
      <c r="E23" s="12" t="n"/>
      <c r="F23" s="13" t="inlineStr">
        <is>
          <t>AMD</t>
        </is>
      </c>
      <c r="G23" s="13" t="n">
        <v>3</v>
      </c>
      <c r="H23" s="14">
        <f>IF(E23="","",E23*G23)</f>
        <v/>
      </c>
      <c r="I23" s="15">
        <f>IF(F23="","",IFERROR(INDEX($C$6:$C$10,MATCH(F23,$B$6:$B$10,0)),"查无此币种"))</f>
        <v/>
      </c>
      <c r="J23" s="16">
        <f>IF(H23="","",H23*I23)</f>
        <v/>
      </c>
      <c r="K23" s="17" t="inlineStr">
        <is>
          <t>待填</t>
        </is>
      </c>
      <c r="L23" s="11" t="inlineStr"/>
    </row>
    <row r="24">
      <c r="A24" s="5" t="inlineStr">
        <is>
          <t>9.30</t>
        </is>
      </c>
      <c r="B24" s="5" t="inlineStr">
        <is>
          <t>住宿</t>
        </is>
      </c>
      <c r="C24" s="5" t="inlineStr">
        <is>
          <t>第比利斯 · 最后一晚</t>
        </is>
      </c>
      <c r="D24" s="11" t="inlineStr">
        <is>
          <t>1 晚 9.30–10.1</t>
        </is>
      </c>
      <c r="E24" s="12" t="n"/>
      <c r="F24" s="13" t="inlineStr">
        <is>
          <t>GEL</t>
        </is>
      </c>
      <c r="G24" s="13" t="n">
        <v>1</v>
      </c>
      <c r="H24" s="14">
        <f>IF(E24="","",E24*G24)</f>
        <v/>
      </c>
      <c r="I24" s="15">
        <f>IF(F24="","",IFERROR(INDEX($C$6:$C$10,MATCH(F24,$B$6:$B$10,0)),"查无此币种"))</f>
        <v/>
      </c>
      <c r="J24" s="16">
        <f>IF(H24="","",H24*I24)</f>
        <v/>
      </c>
      <c r="K24" s="17" t="inlineStr">
        <is>
          <t>待订</t>
        </is>
      </c>
      <c r="L24" s="11" t="inlineStr"/>
    </row>
    <row r="25">
      <c r="A25" s="5" t="inlineStr">
        <is>
          <t>10.1</t>
        </is>
      </c>
      <c r="B25" s="5" t="inlineStr">
        <is>
          <t>住宿</t>
        </is>
      </c>
      <c r="C25" s="5" t="inlineStr">
        <is>
          <t>塔什干</t>
        </is>
      </c>
      <c r="D25" s="11" t="inlineStr">
        <is>
          <t>2 晚 10.1–10.3</t>
        </is>
      </c>
      <c r="E25" s="12" t="n"/>
      <c r="F25" s="13" t="inlineStr">
        <is>
          <t>UZS</t>
        </is>
      </c>
      <c r="G25" s="13" t="n">
        <v>2</v>
      </c>
      <c r="H25" s="14">
        <f>IF(E25="","",E25*G25)</f>
        <v/>
      </c>
      <c r="I25" s="15">
        <f>IF(F25="","",IFERROR(INDEX($C$6:$C$10,MATCH(F25,$B$6:$B$10,0)),"查无此币种"))</f>
        <v/>
      </c>
      <c r="J25" s="16">
        <f>IF(H25="","",H25*I25)</f>
        <v/>
      </c>
      <c r="K25" s="17" t="inlineStr">
        <is>
          <t>待订</t>
        </is>
      </c>
      <c r="L25" s="11" t="inlineStr"/>
    </row>
    <row r="26">
      <c r="A26" s="5" t="inlineStr">
        <is>
          <t>9.23</t>
        </is>
      </c>
      <c r="B26" s="5" t="inlineStr">
        <is>
          <t>城际交通</t>
        </is>
      </c>
      <c r="C26" s="5" t="inlineStr">
        <is>
          <t>火车 第比利斯 → 巴统</t>
        </is>
      </c>
      <c r="D26" s="11" t="inlineStr">
        <is>
          <t>08:00–12:00，经济舱。一等舱 $29.03</t>
        </is>
      </c>
      <c r="E26" s="12" t="n">
        <v>13.75</v>
      </c>
      <c r="F26" s="13" t="inlineStr">
        <is>
          <t>USD</t>
        </is>
      </c>
      <c r="G26" s="13" t="n">
        <v>2</v>
      </c>
      <c r="H26" s="14">
        <f>IF(E26="","",E26*G26)</f>
        <v/>
      </c>
      <c r="I26" s="15">
        <f>IF(F26="","",IFERROR(INDEX($C$6:$C$10,MATCH(F26,$B$6:$B$10,0)),"查无此币种"))</f>
        <v/>
      </c>
      <c r="J26" s="16">
        <f>IF(H26="","",H26*I26)</f>
        <v/>
      </c>
      <c r="K26" s="17" t="inlineStr">
        <is>
          <t>待订</t>
        </is>
      </c>
      <c r="L26" s="11" t="inlineStr">
        <is>
          <t>tkt.ge</t>
        </is>
      </c>
    </row>
    <row r="27">
      <c r="A27" s="5" t="inlineStr">
        <is>
          <t>9.25</t>
        </is>
      </c>
      <c r="B27" s="5" t="inlineStr">
        <is>
          <t>城际交通</t>
        </is>
      </c>
      <c r="C27" s="5" t="inlineStr">
        <is>
          <t>包车 阿扎拉山区往返</t>
        </is>
      </c>
      <c r="D27" s="11" t="inlineStr">
        <is>
          <t>Nodar / Highlander / DD-971-PD</t>
        </is>
      </c>
      <c r="E27" s="12" t="n"/>
      <c r="F27" s="13" t="inlineStr">
        <is>
          <t>GEL</t>
        </is>
      </c>
      <c r="G27" s="13" t="n">
        <v>1</v>
      </c>
      <c r="H27" s="14">
        <f>IF(E27="","",E27*G27)</f>
        <v/>
      </c>
      <c r="I27" s="15">
        <f>IF(F27="","",IFERROR(INDEX($C$6:$C$10,MATCH(F27,$B$6:$B$10,0)),"查无此币种"))</f>
        <v/>
      </c>
      <c r="J27" s="16">
        <f>IF(H27="","",H27*I27)</f>
        <v/>
      </c>
      <c r="K27" s="17" t="inlineStr">
        <is>
          <t>待付</t>
        </is>
      </c>
      <c r="L27" s="11" t="inlineStr">
        <is>
          <t>建议现金</t>
        </is>
      </c>
    </row>
    <row r="28">
      <c r="A28" s="5" t="inlineStr">
        <is>
          <t>9.26</t>
        </is>
      </c>
      <c r="B28" s="5" t="inlineStr">
        <is>
          <t>城际交通</t>
        </is>
      </c>
      <c r="C28" s="5" t="inlineStr">
        <is>
          <t>包车 巴统 → 第比利斯</t>
        </is>
      </c>
      <c r="D28" s="11" t="inlineStr">
        <is>
          <t>Vladimer / Accord / VL-102-AD，443km</t>
        </is>
      </c>
      <c r="E28" s="12" t="n">
        <v>179</v>
      </c>
      <c r="F28" s="13" t="inlineStr">
        <is>
          <t>USD</t>
        </is>
      </c>
      <c r="G28" s="13" t="n">
        <v>1</v>
      </c>
      <c r="H28" s="14">
        <f>IF(E28="","",E28*G28)</f>
        <v/>
      </c>
      <c r="I28" s="15">
        <f>IF(F28="","",IFERROR(INDEX($C$6:$C$10,MATCH(F28,$B$6:$B$10,0)),"查无此币种"))</f>
        <v/>
      </c>
      <c r="J28" s="16">
        <f>IF(H28="","",H28*I28)</f>
        <v/>
      </c>
      <c r="K28" s="17" t="inlineStr">
        <is>
          <t>待付</t>
        </is>
      </c>
      <c r="L28" s="11" t="inlineStr">
        <is>
          <t>建议现金</t>
        </is>
      </c>
    </row>
    <row r="29">
      <c r="A29" s="5" t="inlineStr">
        <is>
          <t>9.27</t>
        </is>
      </c>
      <c r="B29" s="5" t="inlineStr">
        <is>
          <t>城际交通</t>
        </is>
      </c>
      <c r="C29" s="5" t="inlineStr">
        <is>
          <t>第比利斯 → 埃里温</t>
        </is>
      </c>
      <c r="D29" s="11" t="inlineStr">
        <is>
          <t>小巴/大巴/包车，朋友安排</t>
        </is>
      </c>
      <c r="E29" s="12" t="n"/>
      <c r="F29" s="13" t="inlineStr">
        <is>
          <t>USD</t>
        </is>
      </c>
      <c r="G29" s="13" t="n">
        <v>2</v>
      </c>
      <c r="H29" s="14">
        <f>IF(E29="","",E29*G29)</f>
        <v/>
      </c>
      <c r="I29" s="15">
        <f>IF(F29="","",IFERROR(INDEX($C$6:$C$10,MATCH(F29,$B$6:$B$10,0)),"查无此币种"))</f>
        <v/>
      </c>
      <c r="J29" s="16">
        <f>IF(H29="","",H29*I29)</f>
        <v/>
      </c>
      <c r="K29" s="17" t="inlineStr">
        <is>
          <t>待填</t>
        </is>
      </c>
      <c r="L29" s="11" t="inlineStr"/>
    </row>
    <row r="30">
      <c r="A30" s="5" t="inlineStr">
        <is>
          <t>9.30</t>
        </is>
      </c>
      <c r="B30" s="5" t="inlineStr">
        <is>
          <t>城际交通</t>
        </is>
      </c>
      <c r="C30" s="5" t="inlineStr">
        <is>
          <t>埃里温 → 第比利斯</t>
        </is>
      </c>
      <c r="D30" s="11" t="inlineStr">
        <is>
          <t>建议包车，参考 100–150 USD 一车</t>
        </is>
      </c>
      <c r="E30" s="12" t="n"/>
      <c r="F30" s="13" t="inlineStr">
        <is>
          <t>USD</t>
        </is>
      </c>
      <c r="G30" s="13" t="n">
        <v>1</v>
      </c>
      <c r="H30" s="14">
        <f>IF(E30="","",E30*G30)</f>
        <v/>
      </c>
      <c r="I30" s="15">
        <f>IF(F30="","",IFERROR(INDEX($C$6:$C$10,MATCH(F30,$B$6:$B$10,0)),"查无此币种"))</f>
        <v/>
      </c>
      <c r="J30" s="16">
        <f>IF(H30="","",H30*I30)</f>
        <v/>
      </c>
      <c r="K30" s="17" t="inlineStr">
        <is>
          <t>待订</t>
        </is>
      </c>
      <c r="L30" s="11" t="inlineStr"/>
    </row>
    <row r="31">
      <c r="A31" s="5" t="inlineStr">
        <is>
          <t>10.2</t>
        </is>
      </c>
      <c r="B31" s="5" t="inlineStr">
        <is>
          <t>城际交通</t>
        </is>
      </c>
      <c r="C31" s="5" t="inlineStr">
        <is>
          <t>Afrosiyob 高铁 塔什干⇄撒马尔罕</t>
        </is>
      </c>
      <c r="D31" s="11" t="inlineStr">
        <is>
          <t>往返，需提前 60 天买</t>
        </is>
      </c>
      <c r="E31" s="12" t="n"/>
      <c r="F31" s="13" t="inlineStr">
        <is>
          <t>UZS</t>
        </is>
      </c>
      <c r="G31" s="13" t="n">
        <v>2</v>
      </c>
      <c r="H31" s="14">
        <f>IF(E31="","",E31*G31)</f>
        <v/>
      </c>
      <c r="I31" s="15">
        <f>IF(F31="","",IFERROR(INDEX($C$6:$C$10,MATCH(F31,$B$6:$B$10,0)),"查无此币种"))</f>
        <v/>
      </c>
      <c r="J31" s="16">
        <f>IF(H31="","",H31*I31)</f>
        <v/>
      </c>
      <c r="K31" s="17" t="inlineStr">
        <is>
          <t>待订</t>
        </is>
      </c>
      <c r="L31" s="11" t="inlineStr">
        <is>
          <t>railway.uz</t>
        </is>
      </c>
    </row>
    <row r="32">
      <c r="A32" s="5" t="inlineStr">
        <is>
          <t>9.18</t>
        </is>
      </c>
      <c r="B32" s="5" t="inlineStr">
        <is>
          <t>市内交通</t>
        </is>
      </c>
      <c r="C32" s="5" t="inlineStr">
        <is>
          <t>机场 → Avlabari</t>
        </is>
      </c>
      <c r="D32" s="11" t="inlineStr">
        <is>
          <t>Bolt，约 25–35 GEL</t>
        </is>
      </c>
      <c r="E32" s="12" t="n">
        <v>30</v>
      </c>
      <c r="F32" s="13" t="inlineStr">
        <is>
          <t>GEL</t>
        </is>
      </c>
      <c r="G32" s="13" t="n">
        <v>1</v>
      </c>
      <c r="H32" s="14">
        <f>IF(E32="","",E32*G32)</f>
        <v/>
      </c>
      <c r="I32" s="15">
        <f>IF(F32="","",IFERROR(INDEX($C$6:$C$10,MATCH(F32,$B$6:$B$10,0)),"查无此币种"))</f>
        <v/>
      </c>
      <c r="J32" s="16">
        <f>IF(H32="","",H32*I32)</f>
        <v/>
      </c>
      <c r="K32" s="17" t="inlineStr">
        <is>
          <t>预估</t>
        </is>
      </c>
      <c r="L32" s="11" t="inlineStr">
        <is>
          <t>现金/App</t>
        </is>
      </c>
    </row>
    <row r="33">
      <c r="A33" s="5" t="inlineStr"/>
      <c r="B33" s="5" t="inlineStr">
        <is>
          <t>市内交通</t>
        </is>
      </c>
      <c r="C33" s="5" t="inlineStr">
        <is>
          <t>第比利斯市内 Bolt + 地铁</t>
        </is>
      </c>
      <c r="D33" s="11" t="inlineStr">
        <is>
          <t>5 天，含姆茨赫塔往返约 60 GEL</t>
        </is>
      </c>
      <c r="E33" s="12" t="n">
        <v>150</v>
      </c>
      <c r="F33" s="13" t="inlineStr">
        <is>
          <t>GEL</t>
        </is>
      </c>
      <c r="G33" s="13" t="n">
        <v>1</v>
      </c>
      <c r="H33" s="14">
        <f>IF(E33="","",E33*G33)</f>
        <v/>
      </c>
      <c r="I33" s="15">
        <f>IF(F33="","",IFERROR(INDEX($C$6:$C$10,MATCH(F33,$B$6:$B$10,0)),"查无此币种"))</f>
        <v/>
      </c>
      <c r="J33" s="16">
        <f>IF(H33="","",H33*I33)</f>
        <v/>
      </c>
      <c r="K33" s="17" t="inlineStr">
        <is>
          <t>预估</t>
        </is>
      </c>
      <c r="L33" s="11" t="inlineStr"/>
    </row>
    <row r="34">
      <c r="A34" s="5" t="inlineStr">
        <is>
          <t>9.23</t>
        </is>
      </c>
      <c r="B34" s="5" t="inlineStr">
        <is>
          <t>市内交通</t>
        </is>
      </c>
      <c r="C34" s="5" t="inlineStr">
        <is>
          <t>巴统站 → 市区 + 植物园往返</t>
        </is>
      </c>
      <c r="D34" s="11" t="inlineStr">
        <is>
          <t>约 10–15 + 30–40 GEL</t>
        </is>
      </c>
      <c r="E34" s="12" t="n">
        <v>55</v>
      </c>
      <c r="F34" s="13" t="inlineStr">
        <is>
          <t>GEL</t>
        </is>
      </c>
      <c r="G34" s="13" t="n">
        <v>1</v>
      </c>
      <c r="H34" s="14">
        <f>IF(E34="","",E34*G34)</f>
        <v/>
      </c>
      <c r="I34" s="15">
        <f>IF(F34="","",IFERROR(INDEX($C$6:$C$10,MATCH(F34,$B$6:$B$10,0)),"查无此币种"))</f>
        <v/>
      </c>
      <c r="J34" s="16">
        <f>IF(H34="","",H34*I34)</f>
        <v/>
      </c>
      <c r="K34" s="17" t="inlineStr">
        <is>
          <t>预估</t>
        </is>
      </c>
      <c r="L34" s="11" t="inlineStr"/>
    </row>
    <row r="35">
      <c r="A35" s="5" t="inlineStr">
        <is>
          <t>10.1</t>
        </is>
      </c>
      <c r="B35" s="5" t="inlineStr">
        <is>
          <t>市内交通</t>
        </is>
      </c>
      <c r="C35" s="5" t="inlineStr">
        <is>
          <t>第比利斯 → 机场</t>
        </is>
      </c>
      <c r="D35" s="11" t="inlineStr">
        <is>
          <t>Bolt，约 25–35 GEL</t>
        </is>
      </c>
      <c r="E35" s="12" t="n">
        <v>30</v>
      </c>
      <c r="F35" s="13" t="inlineStr">
        <is>
          <t>GEL</t>
        </is>
      </c>
      <c r="G35" s="13" t="n">
        <v>1</v>
      </c>
      <c r="H35" s="14">
        <f>IF(E35="","",E35*G35)</f>
        <v/>
      </c>
      <c r="I35" s="15">
        <f>IF(F35="","",IFERROR(INDEX($C$6:$C$10,MATCH(F35,$B$6:$B$10,0)),"查无此币种"))</f>
        <v/>
      </c>
      <c r="J35" s="16">
        <f>IF(H35="","",H35*I35)</f>
        <v/>
      </c>
      <c r="K35" s="17" t="inlineStr">
        <is>
          <t>预估</t>
        </is>
      </c>
      <c r="L35" s="11" t="inlineStr"/>
    </row>
    <row r="36">
      <c r="A36" s="5" t="inlineStr"/>
      <c r="B36" s="5" t="inlineStr">
        <is>
          <t>市内交通</t>
        </is>
      </c>
      <c r="C36" s="5" t="inlineStr">
        <is>
          <t>塔什干 Yandex Go</t>
        </is>
      </c>
      <c r="D36" s="11" t="inlineStr">
        <is>
          <t>机场往返 + 市内，3 天</t>
        </is>
      </c>
      <c r="E36" s="12" t="n"/>
      <c r="F36" s="13" t="inlineStr">
        <is>
          <t>UZS</t>
        </is>
      </c>
      <c r="G36" s="13" t="n">
        <v>1</v>
      </c>
      <c r="H36" s="14">
        <f>IF(E36="","",E36*G36)</f>
        <v/>
      </c>
      <c r="I36" s="15">
        <f>IF(F36="","",IFERROR(INDEX($C$6:$C$10,MATCH(F36,$B$6:$B$10,0)),"查无此币种"))</f>
        <v/>
      </c>
      <c r="J36" s="16">
        <f>IF(H36="","",H36*I36)</f>
        <v/>
      </c>
      <c r="K36" s="17" t="inlineStr">
        <is>
          <t>待填</t>
        </is>
      </c>
      <c r="L36" s="11" t="inlineStr"/>
    </row>
    <row r="37">
      <c r="A37" s="5" t="inlineStr">
        <is>
          <t>9.19</t>
        </is>
      </c>
      <c r="B37" s="5" t="inlineStr">
        <is>
          <t>一日游</t>
        </is>
      </c>
      <c r="C37" s="5" t="inlineStr">
        <is>
          <t>卡兹别吉深度小团</t>
        </is>
      </c>
      <c r="D37" s="11" t="inlineStr">
        <is>
          <t>携程，6 人小团 + 4×4，含特鲁索峡谷</t>
        </is>
      </c>
      <c r="E37" s="12" t="n"/>
      <c r="F37" s="13" t="inlineStr">
        <is>
          <t>CNY</t>
        </is>
      </c>
      <c r="G37" s="13" t="n">
        <v>2</v>
      </c>
      <c r="H37" s="14">
        <f>IF(E37="","",E37*G37)</f>
        <v/>
      </c>
      <c r="I37" s="15">
        <f>IF(F37="","",IFERROR(INDEX($C$6:$C$10,MATCH(F37,$B$6:$B$10,0)),"查无此币种"))</f>
        <v/>
      </c>
      <c r="J37" s="16">
        <f>IF(H37="","",H37*I37)</f>
        <v/>
      </c>
      <c r="K37" s="17" t="inlineStr">
        <is>
          <t>已订</t>
        </is>
      </c>
      <c r="L37" s="11" t="inlineStr">
        <is>
          <t>携程</t>
        </is>
      </c>
    </row>
    <row r="38">
      <c r="A38" s="5" t="inlineStr">
        <is>
          <t>9.20</t>
        </is>
      </c>
      <c r="B38" s="5" t="inlineStr">
        <is>
          <t>一日游</t>
        </is>
      </c>
      <c r="C38" s="5" t="inlineStr">
        <is>
          <t>卡赫季酒乡一日</t>
        </is>
      </c>
      <c r="D38" s="11" t="inlineStr">
        <is>
          <t>欧洲广场 08:45 集合，特拉维品 9 种酒</t>
        </is>
      </c>
      <c r="E38" s="12" t="n"/>
      <c r="F38" s="13" t="inlineStr">
        <is>
          <t>CNY</t>
        </is>
      </c>
      <c r="G38" s="13" t="n">
        <v>2</v>
      </c>
      <c r="H38" s="14">
        <f>IF(E38="","",E38*G38)</f>
        <v/>
      </c>
      <c r="I38" s="15">
        <f>IF(F38="","",IFERROR(INDEX($C$6:$C$10,MATCH(F38,$B$6:$B$10,0)),"查无此币种"))</f>
        <v/>
      </c>
      <c r="J38" s="16">
        <f>IF(H38="","",H38*I38)</f>
        <v/>
      </c>
      <c r="K38" s="17" t="inlineStr">
        <is>
          <t>已订</t>
        </is>
      </c>
      <c r="L38" s="11" t="inlineStr"/>
    </row>
    <row r="39">
      <c r="A39" s="5" t="inlineStr">
        <is>
          <t>9.20</t>
        </is>
      </c>
      <c r="B39" s="5" t="inlineStr">
        <is>
          <t>一日游</t>
        </is>
      </c>
      <c r="C39" s="5" t="inlineStr">
        <is>
          <t>卡赫季 · 酒庄午餐</t>
        </is>
      </c>
      <c r="D39" s="11" t="inlineStr">
        <is>
          <t>特拉维餐厅按菜单另付</t>
        </is>
      </c>
      <c r="E39" s="12" t="n"/>
      <c r="F39" s="13" t="inlineStr">
        <is>
          <t>GEL</t>
        </is>
      </c>
      <c r="G39" s="13" t="n">
        <v>2</v>
      </c>
      <c r="H39" s="14">
        <f>IF(E39="","",E39*G39)</f>
        <v/>
      </c>
      <c r="I39" s="15">
        <f>IF(F39="","",IFERROR(INDEX($C$6:$C$10,MATCH(F39,$B$6:$B$10,0)),"查无此币种"))</f>
        <v/>
      </c>
      <c r="J39" s="16">
        <f>IF(H39="","",H39*I39)</f>
        <v/>
      </c>
      <c r="K39" s="17" t="inlineStr">
        <is>
          <t>待填</t>
        </is>
      </c>
      <c r="L39" s="11" t="inlineStr">
        <is>
          <t>现金</t>
        </is>
      </c>
    </row>
    <row r="40">
      <c r="A40" s="5" t="inlineStr">
        <is>
          <t>9.24</t>
        </is>
      </c>
      <c r="B40" s="5" t="inlineStr">
        <is>
          <t>一日游</t>
        </is>
      </c>
      <c r="C40" s="5" t="inlineStr">
        <is>
          <t>巴统美食漫步（可选）</t>
        </is>
      </c>
      <c r="D40" s="11" t="inlineStr">
        <is>
          <t>Airbnb 5h，★4.88 / 36 评价</t>
        </is>
      </c>
      <c r="E40" s="12" t="n">
        <v>195</v>
      </c>
      <c r="F40" s="13" t="inlineStr">
        <is>
          <t>CNY</t>
        </is>
      </c>
      <c r="G40" s="13" t="n">
        <v>2</v>
      </c>
      <c r="H40" s="14">
        <f>IF(E40="","",E40*G40)</f>
        <v/>
      </c>
      <c r="I40" s="15">
        <f>IF(F40="","",IFERROR(INDEX($C$6:$C$10,MATCH(F40,$B$6:$B$10,0)),"查无此币种"))</f>
        <v/>
      </c>
      <c r="J40" s="16">
        <f>IF(H40="","",H40*I40)</f>
        <v/>
      </c>
      <c r="K40" s="17" t="inlineStr">
        <is>
          <t>可选</t>
        </is>
      </c>
      <c r="L40" s="11" t="inlineStr"/>
    </row>
    <row r="41">
      <c r="A41" s="5" t="inlineStr">
        <is>
          <t>9.25</t>
        </is>
      </c>
      <c r="B41" s="5" t="inlineStr">
        <is>
          <t>一日游</t>
        </is>
      </c>
      <c r="C41" s="5" t="inlineStr">
        <is>
          <t>Keda 酒庄品鉴 + 午餐</t>
        </is>
      </c>
      <c r="D41" s="11" t="inlineStr">
        <is>
          <t>包车不含，现场付</t>
        </is>
      </c>
      <c r="E41" s="12" t="n"/>
      <c r="F41" s="13" t="inlineStr">
        <is>
          <t>GEL</t>
        </is>
      </c>
      <c r="G41" s="13" t="n">
        <v>2</v>
      </c>
      <c r="H41" s="14">
        <f>IF(E41="","",E41*G41)</f>
        <v/>
      </c>
      <c r="I41" s="15">
        <f>IF(F41="","",IFERROR(INDEX($C$6:$C$10,MATCH(F41,$B$6:$B$10,0)),"查无此币种"))</f>
        <v/>
      </c>
      <c r="J41" s="16">
        <f>IF(H41="","",H41*I41)</f>
        <v/>
      </c>
      <c r="K41" s="17" t="inlineStr">
        <is>
          <t>待填</t>
        </is>
      </c>
      <c r="L41" s="11" t="inlineStr">
        <is>
          <t>现金</t>
        </is>
      </c>
    </row>
    <row r="42">
      <c r="A42" s="5" t="inlineStr">
        <is>
          <t>9.21</t>
        </is>
      </c>
      <c r="B42" s="5" t="inlineStr">
        <is>
          <t>门票娱乐</t>
        </is>
      </c>
      <c r="C42" s="5" t="inlineStr">
        <is>
          <t>硫磺浴私人包间</t>
        </is>
      </c>
      <c r="D42" s="11" t="inlineStr">
        <is>
          <t>60–120 GEL/小时，搓背另加 15–20</t>
        </is>
      </c>
      <c r="E42" s="12" t="n">
        <v>90</v>
      </c>
      <c r="F42" s="13" t="inlineStr">
        <is>
          <t>GEL</t>
        </is>
      </c>
      <c r="G42" s="13" t="n">
        <v>1</v>
      </c>
      <c r="H42" s="14">
        <f>IF(E42="","",E42*G42)</f>
        <v/>
      </c>
      <c r="I42" s="15">
        <f>IF(F42="","",IFERROR(INDEX($C$6:$C$10,MATCH(F42,$B$6:$B$10,0)),"查无此币种"))</f>
        <v/>
      </c>
      <c r="J42" s="16">
        <f>IF(H42="","",H42*I42)</f>
        <v/>
      </c>
      <c r="K42" s="17" t="inlineStr">
        <is>
          <t>预估</t>
        </is>
      </c>
      <c r="L42" s="11" t="inlineStr">
        <is>
          <t>现金</t>
        </is>
      </c>
    </row>
    <row r="43">
      <c r="A43" s="5" t="inlineStr">
        <is>
          <t>9.21</t>
        </is>
      </c>
      <c r="B43" s="5" t="inlineStr">
        <is>
          <t>门票娱乐</t>
        </is>
      </c>
      <c r="C43" s="5" t="inlineStr">
        <is>
          <t>Narikala 缆车</t>
        </is>
      </c>
      <c r="D43" s="11" t="inlineStr">
        <is>
          <t>2.5 GEL/人，只收 Metromoney 卡</t>
        </is>
      </c>
      <c r="E43" s="12" t="n">
        <v>2.5</v>
      </c>
      <c r="F43" s="13" t="inlineStr">
        <is>
          <t>GEL</t>
        </is>
      </c>
      <c r="G43" s="13" t="n">
        <v>2</v>
      </c>
      <c r="H43" s="14">
        <f>IF(E43="","",E43*G43)</f>
        <v/>
      </c>
      <c r="I43" s="15">
        <f>IF(F43="","",IFERROR(INDEX($C$6:$C$10,MATCH(F43,$B$6:$B$10,0)),"查无此币种"))</f>
        <v/>
      </c>
      <c r="J43" s="16">
        <f>IF(H43="","",H43*I43)</f>
        <v/>
      </c>
      <c r="K43" s="17" t="inlineStr">
        <is>
          <t>预估</t>
        </is>
      </c>
      <c r="L43" s="11" t="inlineStr">
        <is>
          <t>Metromoney</t>
        </is>
      </c>
    </row>
    <row r="44">
      <c r="A44" s="5" t="inlineStr">
        <is>
          <t>9.23</t>
        </is>
      </c>
      <c r="B44" s="5" t="inlineStr">
        <is>
          <t>门票娱乐</t>
        </is>
      </c>
      <c r="C44" s="5" t="inlineStr">
        <is>
          <t>巴统植物园 + Argo 缆车</t>
        </is>
      </c>
      <c r="D44" s="11" t="inlineStr"/>
      <c r="E44" s="12" t="n"/>
      <c r="F44" s="13" t="inlineStr">
        <is>
          <t>GEL</t>
        </is>
      </c>
      <c r="G44" s="13" t="n">
        <v>2</v>
      </c>
      <c r="H44" s="14">
        <f>IF(E44="","",E44*G44)</f>
        <v/>
      </c>
      <c r="I44" s="15">
        <f>IF(F44="","",IFERROR(INDEX($C$6:$C$10,MATCH(F44,$B$6:$B$10,0)),"查无此币种"))</f>
        <v/>
      </c>
      <c r="J44" s="16">
        <f>IF(H44="","",H44*I44)</f>
        <v/>
      </c>
      <c r="K44" s="17" t="inlineStr">
        <is>
          <t>待填</t>
        </is>
      </c>
      <c r="L44" s="11" t="inlineStr"/>
    </row>
    <row r="45">
      <c r="A45" s="5" t="inlineStr">
        <is>
          <t>9.24</t>
        </is>
      </c>
      <c r="B45" s="5" t="inlineStr">
        <is>
          <t>门票娱乐</t>
        </is>
      </c>
      <c r="C45" s="5" t="inlineStr">
        <is>
          <t>娱乐场</t>
        </is>
      </c>
      <c r="D45" s="11" t="inlineStr">
        <is>
          <t>带护照入场，筹码用现金</t>
        </is>
      </c>
      <c r="E45" s="12" t="n"/>
      <c r="F45" s="13" t="inlineStr">
        <is>
          <t>GEL</t>
        </is>
      </c>
      <c r="G45" s="13" t="n">
        <v>1</v>
      </c>
      <c r="H45" s="14">
        <f>IF(E45="","",E45*G45)</f>
        <v/>
      </c>
      <c r="I45" s="15">
        <f>IF(F45="","",IFERROR(INDEX($C$6:$C$10,MATCH(F45,$B$6:$B$10,0)),"查无此币种"))</f>
        <v/>
      </c>
      <c r="J45" s="16">
        <f>IF(H45="","",H45*I45)</f>
        <v/>
      </c>
      <c r="K45" s="17" t="inlineStr">
        <is>
          <t>待填</t>
        </is>
      </c>
      <c r="L45" s="11" t="inlineStr">
        <is>
          <t>现金</t>
        </is>
      </c>
    </row>
    <row r="46">
      <c r="A46" s="5" t="inlineStr">
        <is>
          <t>10.2</t>
        </is>
      </c>
      <c r="B46" s="5" t="inlineStr">
        <is>
          <t>门票娱乐</t>
        </is>
      </c>
      <c r="C46" s="5" t="inlineStr">
        <is>
          <t>撒马尔罕景点门票</t>
        </is>
      </c>
      <c r="D46" s="11" t="inlineStr">
        <is>
          <t>Registan、Gur-e-Amir、Shah-i-Zinda 等</t>
        </is>
      </c>
      <c r="E46" s="12" t="n"/>
      <c r="F46" s="13" t="inlineStr">
        <is>
          <t>UZS</t>
        </is>
      </c>
      <c r="G46" s="13" t="n">
        <v>2</v>
      </c>
      <c r="H46" s="14">
        <f>IF(E46="","",E46*G46)</f>
        <v/>
      </c>
      <c r="I46" s="15">
        <f>IF(F46="","",IFERROR(INDEX($C$6:$C$10,MATCH(F46,$B$6:$B$10,0)),"查无此币种"))</f>
        <v/>
      </c>
      <c r="J46" s="16">
        <f>IF(H46="","",H46*I46)</f>
        <v/>
      </c>
      <c r="K46" s="17" t="inlineStr">
        <is>
          <t>待填</t>
        </is>
      </c>
      <c r="L46" s="11" t="inlineStr">
        <is>
          <t>现金</t>
        </is>
      </c>
    </row>
    <row r="47">
      <c r="A47" s="5" t="inlineStr"/>
      <c r="B47" s="5" t="inlineStr">
        <is>
          <t>餐饮</t>
        </is>
      </c>
      <c r="C47" s="5" t="inlineStr">
        <is>
          <t>第比利斯 6 天</t>
        </is>
      </c>
      <c r="D47" s="11" t="inlineStr">
        <is>
          <t>人均每天约 80–120 GEL，含一顿好的</t>
        </is>
      </c>
      <c r="E47" s="12" t="n"/>
      <c r="F47" s="13" t="inlineStr">
        <is>
          <t>GEL</t>
        </is>
      </c>
      <c r="G47" s="13" t="n">
        <v>1</v>
      </c>
      <c r="H47" s="14">
        <f>IF(E47="","",E47*G47)</f>
        <v/>
      </c>
      <c r="I47" s="15">
        <f>IF(F47="","",IFERROR(INDEX($C$6:$C$10,MATCH(F47,$B$6:$B$10,0)),"查无此币种"))</f>
        <v/>
      </c>
      <c r="J47" s="16">
        <f>IF(H47="","",H47*I47)</f>
        <v/>
      </c>
      <c r="K47" s="17" t="inlineStr">
        <is>
          <t>待填</t>
        </is>
      </c>
      <c r="L47" s="11" t="inlineStr"/>
    </row>
    <row r="48">
      <c r="A48" s="5" t="inlineStr"/>
      <c r="B48" s="5" t="inlineStr">
        <is>
          <t>餐饮</t>
        </is>
      </c>
      <c r="C48" s="5" t="inlineStr">
        <is>
          <t>巴统 4 天</t>
        </is>
      </c>
      <c r="D48" s="11" t="inlineStr">
        <is>
          <t>奶酪船 15–25，鱼市加工费几拉里</t>
        </is>
      </c>
      <c r="E48" s="12" t="n"/>
      <c r="F48" s="13" t="inlineStr">
        <is>
          <t>GEL</t>
        </is>
      </c>
      <c r="G48" s="13" t="n">
        <v>1</v>
      </c>
      <c r="H48" s="14">
        <f>IF(E48="","",E48*G48)</f>
        <v/>
      </c>
      <c r="I48" s="15">
        <f>IF(F48="","",IFERROR(INDEX($C$6:$C$10,MATCH(F48,$B$6:$B$10,0)),"查无此币种"))</f>
        <v/>
      </c>
      <c r="J48" s="16">
        <f>IF(H48="","",H48*I48)</f>
        <v/>
      </c>
      <c r="K48" s="17" t="inlineStr">
        <is>
          <t>待填</t>
        </is>
      </c>
      <c r="L48" s="11" t="inlineStr"/>
    </row>
    <row r="49">
      <c r="A49" s="5" t="inlineStr"/>
      <c r="B49" s="5" t="inlineStr">
        <is>
          <t>餐饮</t>
        </is>
      </c>
      <c r="C49" s="5" t="inlineStr">
        <is>
          <t>埃里温 4 天</t>
        </is>
      </c>
      <c r="D49" s="11" t="inlineStr"/>
      <c r="E49" s="12" t="n"/>
      <c r="F49" s="13" t="inlineStr">
        <is>
          <t>AMD</t>
        </is>
      </c>
      <c r="G49" s="13" t="n">
        <v>1</v>
      </c>
      <c r="H49" s="14">
        <f>IF(E49="","",E49*G49)</f>
        <v/>
      </c>
      <c r="I49" s="15">
        <f>IF(F49="","",IFERROR(INDEX($C$6:$C$10,MATCH(F49,$B$6:$B$10,0)),"查无此币种"))</f>
        <v/>
      </c>
      <c r="J49" s="16">
        <f>IF(H49="","",H49*I49)</f>
        <v/>
      </c>
      <c r="K49" s="17" t="inlineStr">
        <is>
          <t>待填</t>
        </is>
      </c>
      <c r="L49" s="11" t="inlineStr"/>
    </row>
    <row r="50">
      <c r="A50" s="5" t="inlineStr"/>
      <c r="B50" s="5" t="inlineStr">
        <is>
          <t>餐饮</t>
        </is>
      </c>
      <c r="C50" s="5" t="inlineStr">
        <is>
          <t>塔什干 3 天</t>
        </is>
      </c>
      <c r="D50" s="11" t="inlineStr">
        <is>
          <t>抓饭 20,000–30,000 Som/份</t>
        </is>
      </c>
      <c r="E50" s="12" t="n"/>
      <c r="F50" s="13" t="inlineStr">
        <is>
          <t>UZS</t>
        </is>
      </c>
      <c r="G50" s="13" t="n">
        <v>1</v>
      </c>
      <c r="H50" s="14">
        <f>IF(E50="","",E50*G50)</f>
        <v/>
      </c>
      <c r="I50" s="15">
        <f>IF(F50="","",IFERROR(INDEX($C$6:$C$10,MATCH(F50,$B$6:$B$10,0)),"查无此币种"))</f>
        <v/>
      </c>
      <c r="J50" s="16">
        <f>IF(H50="","",H50*I50)</f>
        <v/>
      </c>
      <c r="K50" s="17" t="inlineStr">
        <is>
          <t>待填</t>
        </is>
      </c>
      <c r="L50" s="11" t="inlineStr"/>
    </row>
    <row r="51">
      <c r="A51" s="5" t="inlineStr">
        <is>
          <t>9.18</t>
        </is>
      </c>
      <c r="B51" s="5" t="inlineStr">
        <is>
          <t>通讯</t>
        </is>
      </c>
      <c r="C51" s="5" t="inlineStr">
        <is>
          <t>格鲁吉亚电话卡</t>
        </is>
      </c>
      <c r="D51" s="11" t="inlineStr">
        <is>
          <t>Magti/Silknet，20–40 GEL</t>
        </is>
      </c>
      <c r="E51" s="12" t="n">
        <v>30</v>
      </c>
      <c r="F51" s="13" t="inlineStr">
        <is>
          <t>GEL</t>
        </is>
      </c>
      <c r="G51" s="13" t="n">
        <v>2</v>
      </c>
      <c r="H51" s="14">
        <f>IF(E51="","",E51*G51)</f>
        <v/>
      </c>
      <c r="I51" s="15">
        <f>IF(F51="","",IFERROR(INDEX($C$6:$C$10,MATCH(F51,$B$6:$B$10,0)),"查无此币种"))</f>
        <v/>
      </c>
      <c r="J51" s="16">
        <f>IF(H51="","",H51*I51)</f>
        <v/>
      </c>
      <c r="K51" s="17" t="inlineStr">
        <is>
          <t>预估</t>
        </is>
      </c>
      <c r="L51" s="11" t="inlineStr">
        <is>
          <t>现金</t>
        </is>
      </c>
    </row>
    <row r="52">
      <c r="A52" s="5" t="inlineStr">
        <is>
          <t>10.1</t>
        </is>
      </c>
      <c r="B52" s="5" t="inlineStr">
        <is>
          <t>通讯</t>
        </is>
      </c>
      <c r="C52" s="5" t="inlineStr">
        <is>
          <t>乌兹别克电话卡</t>
        </is>
      </c>
      <c r="D52" s="11" t="inlineStr">
        <is>
          <t>Ucell/Beeline</t>
        </is>
      </c>
      <c r="E52" s="12" t="n"/>
      <c r="F52" s="13" t="inlineStr">
        <is>
          <t>UZS</t>
        </is>
      </c>
      <c r="G52" s="13" t="n">
        <v>2</v>
      </c>
      <c r="H52" s="14">
        <f>IF(E52="","",E52*G52)</f>
        <v/>
      </c>
      <c r="I52" s="15">
        <f>IF(F52="","",IFERROR(INDEX($C$6:$C$10,MATCH(F52,$B$6:$B$10,0)),"查无此币种"))</f>
        <v/>
      </c>
      <c r="J52" s="16">
        <f>IF(H52="","",H52*I52)</f>
        <v/>
      </c>
      <c r="K52" s="17" t="inlineStr">
        <is>
          <t>待填</t>
        </is>
      </c>
      <c r="L52" s="11" t="inlineStr"/>
    </row>
    <row r="53">
      <c r="A53" s="5" t="inlineStr"/>
      <c r="B53" s="5" t="inlineStr">
        <is>
          <t>购物</t>
        </is>
      </c>
      <c r="C53" s="5" t="inlineStr">
        <is>
          <t>手信 · 格鲁吉亚</t>
        </is>
      </c>
      <c r="D53" s="11" t="inlineStr">
        <is>
          <t>红酒、churchkhela、Borjomi</t>
        </is>
      </c>
      <c r="E53" s="12" t="n"/>
      <c r="F53" s="13" t="inlineStr">
        <is>
          <t>GEL</t>
        </is>
      </c>
      <c r="G53" s="13" t="n">
        <v>1</v>
      </c>
      <c r="H53" s="14">
        <f>IF(E53="","",E53*G53)</f>
        <v/>
      </c>
      <c r="I53" s="15">
        <f>IF(F53="","",IFERROR(INDEX($C$6:$C$10,MATCH(F53,$B$6:$B$10,0)),"查无此币种"))</f>
        <v/>
      </c>
      <c r="J53" s="16">
        <f>IF(H53="","",H53*I53)</f>
        <v/>
      </c>
      <c r="K53" s="17" t="inlineStr">
        <is>
          <t>待填</t>
        </is>
      </c>
      <c r="L53" s="11" t="inlineStr"/>
    </row>
    <row r="54">
      <c r="A54" s="5" t="inlineStr"/>
      <c r="B54" s="5" t="inlineStr">
        <is>
          <t>购物</t>
        </is>
      </c>
      <c r="C54" s="5" t="inlineStr">
        <is>
          <t>手信 · 乌兹别克</t>
        </is>
      </c>
      <c r="D54" s="11" t="inlineStr">
        <is>
          <t>干果、香料、丝绸、陶器</t>
        </is>
      </c>
      <c r="E54" s="12" t="n"/>
      <c r="F54" s="13" t="inlineStr">
        <is>
          <t>UZS</t>
        </is>
      </c>
      <c r="G54" s="13" t="n">
        <v>1</v>
      </c>
      <c r="H54" s="14">
        <f>IF(E54="","",E54*G54)</f>
        <v/>
      </c>
      <c r="I54" s="15">
        <f>IF(F54="","",IFERROR(INDEX($C$6:$C$10,MATCH(F54,$B$6:$B$10,0)),"查无此币种"))</f>
        <v/>
      </c>
      <c r="J54" s="16">
        <f>IF(H54="","",H54*I54)</f>
        <v/>
      </c>
      <c r="K54" s="17" t="inlineStr">
        <is>
          <t>待填</t>
        </is>
      </c>
      <c r="L54" s="11" t="inlineStr"/>
    </row>
    <row r="55">
      <c r="A55" s="5" t="inlineStr"/>
      <c r="B55" s="5" t="inlineStr">
        <is>
          <t>其他</t>
        </is>
      </c>
      <c r="C55" s="5" t="inlineStr"/>
      <c r="D55" s="11" t="inlineStr"/>
      <c r="E55" s="12" t="n"/>
      <c r="F55" s="13" t="inlineStr">
        <is>
          <t>CNY</t>
        </is>
      </c>
      <c r="G55" s="13" t="n">
        <v>1</v>
      </c>
      <c r="H55" s="14">
        <f>IF(E55="","",E55*G55)</f>
        <v/>
      </c>
      <c r="I55" s="15">
        <f>IF(F55="","",IFERROR(INDEX($C$6:$C$10,MATCH(F55,$B$6:$B$10,0)),"查无此币种"))</f>
        <v/>
      </c>
      <c r="J55" s="16">
        <f>IF(H55="","",H55*I55)</f>
        <v/>
      </c>
      <c r="K55" s="17" t="inlineStr"/>
      <c r="L55" s="11" t="inlineStr"/>
    </row>
    <row r="56">
      <c r="A56" s="5" t="inlineStr"/>
      <c r="B56" s="5" t="inlineStr">
        <is>
          <t>其他</t>
        </is>
      </c>
      <c r="C56" s="5" t="inlineStr"/>
      <c r="D56" s="11" t="inlineStr"/>
      <c r="E56" s="12" t="n"/>
      <c r="F56" s="13" t="inlineStr">
        <is>
          <t>CNY</t>
        </is>
      </c>
      <c r="G56" s="13" t="n">
        <v>1</v>
      </c>
      <c r="H56" s="14">
        <f>IF(E56="","",E56*G56)</f>
        <v/>
      </c>
      <c r="I56" s="15">
        <f>IF(F56="","",IFERROR(INDEX($C$6:$C$10,MATCH(F56,$B$6:$B$10,0)),"查无此币种"))</f>
        <v/>
      </c>
      <c r="J56" s="16">
        <f>IF(H56="","",H56*I56)</f>
        <v/>
      </c>
      <c r="K56" s="17" t="inlineStr"/>
      <c r="L56" s="11" t="inlineStr"/>
    </row>
    <row r="57">
      <c r="A57" s="5" t="inlineStr"/>
      <c r="B57" s="5" t="inlineStr">
        <is>
          <t>其他</t>
        </is>
      </c>
      <c r="C57" s="5" t="inlineStr"/>
      <c r="D57" s="11" t="inlineStr"/>
      <c r="E57" s="12" t="n"/>
      <c r="F57" s="13" t="inlineStr">
        <is>
          <t>CNY</t>
        </is>
      </c>
      <c r="G57" s="13" t="n">
        <v>1</v>
      </c>
      <c r="H57" s="14">
        <f>IF(E57="","",E57*G57)</f>
        <v/>
      </c>
      <c r="I57" s="15">
        <f>IF(F57="","",IFERROR(INDEX($C$6:$C$10,MATCH(F57,$B$6:$B$10,0)),"查无此币种"))</f>
        <v/>
      </c>
      <c r="J57" s="16">
        <f>IF(H57="","",H57*I57)</f>
        <v/>
      </c>
      <c r="K57" s="17" t="inlineStr"/>
      <c r="L57" s="11" t="inlineStr"/>
    </row>
    <row r="58">
      <c r="A58" s="18" t="n"/>
      <c r="B58" s="18" t="n"/>
      <c r="C58" s="19" t="inlineStr">
        <is>
          <t>合计</t>
        </is>
      </c>
      <c r="D58" s="18" t="n"/>
      <c r="E58" s="18" t="n"/>
      <c r="F58" s="18" t="n"/>
      <c r="G58" s="18" t="n"/>
      <c r="H58" s="18" t="n"/>
      <c r="I58" s="18" t="n"/>
      <c r="J58" s="20">
        <f>SUM(J15:J57)</f>
        <v/>
      </c>
      <c r="K58" s="18" t="n"/>
      <c r="L58" s="18" t="n"/>
    </row>
    <row r="60">
      <c r="A60" s="3" t="inlineStr">
        <is>
          <t>填写说明</t>
        </is>
      </c>
    </row>
    <row r="61">
      <c r="A61" s="2" t="inlineStr">
        <is>
          <t>1　黄色格子（单价 / 币种 / 数量）是你填的，H/I/J 三列是公式，会自动算，别覆盖。</t>
        </is>
      </c>
    </row>
    <row r="62">
      <c r="A62" s="2" t="inlineStr">
        <is>
          <t>2　币种只能填汇率表里的代码：CNY、USD、GEL、AMD、UZS。填错会显示「查无此币种」。</t>
        </is>
      </c>
    </row>
    <row r="63">
      <c r="A63" s="2" t="inlineStr">
        <is>
          <t>3　数量按实际笔数填：整车/整间填 1，按人头的填 2，按晚数的填晚数。</t>
        </is>
      </c>
    </row>
    <row r="64">
      <c r="A64" s="2" t="inlineStr">
        <is>
          <t>4　标「预估」的是参考价，不是实际支出，落地后按实际改。</t>
        </is>
      </c>
    </row>
    <row r="65">
      <c r="A65" s="2" t="inlineStr">
        <is>
          <t>5　要加行：在合计行上面插入整行，公式会自动跟着扩展。</t>
        </is>
      </c>
    </row>
    <row r="66">
      <c r="A66" s="2" t="inlineStr">
        <is>
          <t>6　汇率是占位值，出发前查一次实时汇率替换，并在 C12 记下查询日期。</t>
        </is>
      </c>
    </row>
  </sheetData>
  <autoFilter ref="A14:L57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</cols>
  <sheetData>
    <row r="1">
      <c r="A1" s="1" t="inlineStr">
        <is>
          <t>费用汇总</t>
        </is>
      </c>
    </row>
    <row r="2">
      <c r="A2" s="2" t="inlineStr">
        <is>
          <t>全部由「费用明细」自动汇总，不用手工填</t>
        </is>
      </c>
    </row>
    <row r="4">
      <c r="A4" s="3" t="inlineStr">
        <is>
          <t>按类别</t>
        </is>
      </c>
    </row>
    <row r="5">
      <c r="A5" s="4" t="inlineStr">
        <is>
          <t>项目</t>
        </is>
      </c>
      <c r="B5" s="4" t="inlineStr">
        <is>
          <t>人民币</t>
        </is>
      </c>
      <c r="C5" s="4" t="inlineStr">
        <is>
          <t>占比</t>
        </is>
      </c>
    </row>
    <row r="6">
      <c r="A6" s="5" t="inlineStr">
        <is>
          <t>国际机票</t>
        </is>
      </c>
      <c r="B6" s="21">
        <f>SUMIFS(费用明细!$J$15:$J$57,费用明细!$B$15:$B$57,$A6)</f>
        <v/>
      </c>
      <c r="C6" s="22">
        <f>IF(费用明细!$J$58=0,0,B6/费用明细!$J$58)</f>
        <v/>
      </c>
    </row>
    <row r="7">
      <c r="A7" s="5" t="inlineStr">
        <is>
          <t>保险</t>
        </is>
      </c>
      <c r="B7" s="21">
        <f>SUMIFS(费用明细!$J$15:$J$57,费用明细!$B$15:$B$57,$A7)</f>
        <v/>
      </c>
      <c r="C7" s="22">
        <f>IF(费用明细!$J$58=0,0,B7/费用明细!$J$58)</f>
        <v/>
      </c>
    </row>
    <row r="8">
      <c r="A8" s="5" t="inlineStr">
        <is>
          <t>住宿</t>
        </is>
      </c>
      <c r="B8" s="21">
        <f>SUMIFS(费用明细!$J$15:$J$57,费用明细!$B$15:$B$57,$A8)</f>
        <v/>
      </c>
      <c r="C8" s="22">
        <f>IF(费用明细!$J$58=0,0,B8/费用明细!$J$58)</f>
        <v/>
      </c>
    </row>
    <row r="9">
      <c r="A9" s="5" t="inlineStr">
        <is>
          <t>城际交通</t>
        </is>
      </c>
      <c r="B9" s="21">
        <f>SUMIFS(费用明细!$J$15:$J$57,费用明细!$B$15:$B$57,$A9)</f>
        <v/>
      </c>
      <c r="C9" s="22">
        <f>IF(费用明细!$J$58=0,0,B9/费用明细!$J$58)</f>
        <v/>
      </c>
    </row>
    <row r="10">
      <c r="A10" s="5" t="inlineStr">
        <is>
          <t>市内交通</t>
        </is>
      </c>
      <c r="B10" s="21">
        <f>SUMIFS(费用明细!$J$15:$J$57,费用明细!$B$15:$B$57,$A10)</f>
        <v/>
      </c>
      <c r="C10" s="22">
        <f>IF(费用明细!$J$58=0,0,B10/费用明细!$J$58)</f>
        <v/>
      </c>
    </row>
    <row r="11">
      <c r="A11" s="5" t="inlineStr">
        <is>
          <t>一日游</t>
        </is>
      </c>
      <c r="B11" s="21">
        <f>SUMIFS(费用明细!$J$15:$J$57,费用明细!$B$15:$B$57,$A11)</f>
        <v/>
      </c>
      <c r="C11" s="22">
        <f>IF(费用明细!$J$58=0,0,B11/费用明细!$J$58)</f>
        <v/>
      </c>
    </row>
    <row r="12">
      <c r="A12" s="5" t="inlineStr">
        <is>
          <t>门票娱乐</t>
        </is>
      </c>
      <c r="B12" s="21">
        <f>SUMIFS(费用明细!$J$15:$J$57,费用明细!$B$15:$B$57,$A12)</f>
        <v/>
      </c>
      <c r="C12" s="22">
        <f>IF(费用明细!$J$58=0,0,B12/费用明细!$J$58)</f>
        <v/>
      </c>
    </row>
    <row r="13">
      <c r="A13" s="5" t="inlineStr">
        <is>
          <t>餐饮</t>
        </is>
      </c>
      <c r="B13" s="21">
        <f>SUMIFS(费用明细!$J$15:$J$57,费用明细!$B$15:$B$57,$A13)</f>
        <v/>
      </c>
      <c r="C13" s="22">
        <f>IF(费用明细!$J$58=0,0,B13/费用明细!$J$58)</f>
        <v/>
      </c>
    </row>
    <row r="14">
      <c r="A14" s="5" t="inlineStr">
        <is>
          <t>通讯</t>
        </is>
      </c>
      <c r="B14" s="21">
        <f>SUMIFS(费用明细!$J$15:$J$57,费用明细!$B$15:$B$57,$A14)</f>
        <v/>
      </c>
      <c r="C14" s="22">
        <f>IF(费用明细!$J$58=0,0,B14/费用明细!$J$58)</f>
        <v/>
      </c>
    </row>
    <row r="15">
      <c r="A15" s="5" t="inlineStr">
        <is>
          <t>购物</t>
        </is>
      </c>
      <c r="B15" s="21">
        <f>SUMIFS(费用明细!$J$15:$J$57,费用明细!$B$15:$B$57,$A15)</f>
        <v/>
      </c>
      <c r="C15" s="22">
        <f>IF(费用明细!$J$58=0,0,B15/费用明细!$J$58)</f>
        <v/>
      </c>
    </row>
    <row r="16">
      <c r="A16" s="5" t="inlineStr">
        <is>
          <t>其他</t>
        </is>
      </c>
      <c r="B16" s="21">
        <f>SUMIFS(费用明细!$J$15:$J$57,费用明细!$B$15:$B$57,$A16)</f>
        <v/>
      </c>
      <c r="C16" s="22">
        <f>IF(费用明细!$J$58=0,0,B16/费用明细!$J$58)</f>
        <v/>
      </c>
    </row>
    <row r="17">
      <c r="A17" s="19" t="inlineStr">
        <is>
          <t>小计</t>
        </is>
      </c>
      <c r="B17" s="23">
        <f>SUM(B6:B16)</f>
        <v/>
      </c>
      <c r="C17" s="24">
        <f>IF(费用明细!$J$58=0,0,B17/费用明细!$J$58)</f>
        <v/>
      </c>
    </row>
    <row r="19">
      <c r="A19" s="3" t="inlineStr">
        <is>
          <t>按状态</t>
        </is>
      </c>
    </row>
    <row r="20">
      <c r="A20" s="4" t="inlineStr">
        <is>
          <t>项目</t>
        </is>
      </c>
      <c r="B20" s="4" t="inlineStr">
        <is>
          <t>人民币</t>
        </is>
      </c>
      <c r="C20" s="4" t="inlineStr">
        <is>
          <t>占比</t>
        </is>
      </c>
    </row>
    <row r="21">
      <c r="A21" s="5" t="inlineStr">
        <is>
          <t>已付</t>
        </is>
      </c>
      <c r="B21" s="21">
        <f>SUMIFS(费用明细!$J$15:$J$57,费用明细!$K$15:$K$57,$A21)</f>
        <v/>
      </c>
      <c r="C21" s="22">
        <f>IF(费用明细!$J$58=0,0,B21/费用明细!$J$58)</f>
        <v/>
      </c>
    </row>
    <row r="22">
      <c r="A22" s="5" t="inlineStr">
        <is>
          <t>已订</t>
        </is>
      </c>
      <c r="B22" s="21">
        <f>SUMIFS(费用明细!$J$15:$J$57,费用明细!$K$15:$K$57,$A22)</f>
        <v/>
      </c>
      <c r="C22" s="22">
        <f>IF(费用明细!$J$58=0,0,B22/费用明细!$J$58)</f>
        <v/>
      </c>
    </row>
    <row r="23">
      <c r="A23" s="5" t="inlineStr">
        <is>
          <t>待付</t>
        </is>
      </c>
      <c r="B23" s="21">
        <f>SUMIFS(费用明细!$J$15:$J$57,费用明细!$K$15:$K$57,$A23)</f>
        <v/>
      </c>
      <c r="C23" s="22">
        <f>IF(费用明细!$J$58=0,0,B23/费用明细!$J$58)</f>
        <v/>
      </c>
    </row>
    <row r="24">
      <c r="A24" s="5" t="inlineStr">
        <is>
          <t>待订</t>
        </is>
      </c>
      <c r="B24" s="21">
        <f>SUMIFS(费用明细!$J$15:$J$57,费用明细!$K$15:$K$57,$A24)</f>
        <v/>
      </c>
      <c r="C24" s="22">
        <f>IF(费用明细!$J$58=0,0,B24/费用明细!$J$58)</f>
        <v/>
      </c>
    </row>
    <row r="25">
      <c r="A25" s="5" t="inlineStr">
        <is>
          <t>待填</t>
        </is>
      </c>
      <c r="B25" s="21">
        <f>SUMIFS(费用明细!$J$15:$J$57,费用明细!$K$15:$K$57,$A25)</f>
        <v/>
      </c>
      <c r="C25" s="22">
        <f>IF(费用明细!$J$58=0,0,B25/费用明细!$J$58)</f>
        <v/>
      </c>
    </row>
    <row r="26">
      <c r="A26" s="5" t="inlineStr">
        <is>
          <t>预估</t>
        </is>
      </c>
      <c r="B26" s="21">
        <f>SUMIFS(费用明细!$J$15:$J$57,费用明细!$K$15:$K$57,$A26)</f>
        <v/>
      </c>
      <c r="C26" s="22">
        <f>IF(费用明细!$J$58=0,0,B26/费用明细!$J$58)</f>
        <v/>
      </c>
    </row>
    <row r="27">
      <c r="A27" s="5" t="inlineStr">
        <is>
          <t>可选</t>
        </is>
      </c>
      <c r="B27" s="21">
        <f>SUMIFS(费用明细!$J$15:$J$57,费用明细!$K$15:$K$57,$A27)</f>
        <v/>
      </c>
      <c r="C27" s="22">
        <f>IF(费用明细!$J$58=0,0,B27/费用明细!$J$58)</f>
        <v/>
      </c>
    </row>
    <row r="28">
      <c r="A28" s="19" t="inlineStr">
        <is>
          <t>小计</t>
        </is>
      </c>
      <c r="B28" s="23">
        <f>SUM(B21:B27)</f>
        <v/>
      </c>
      <c r="C28" s="24">
        <f>IF(费用明细!$J$58=0,0,B28/费用明细!$J$58)</f>
        <v/>
      </c>
    </row>
    <row r="30">
      <c r="A30" s="3" t="inlineStr">
        <is>
          <t>按币种（原币金额，便于备现金）</t>
        </is>
      </c>
    </row>
    <row r="31">
      <c r="A31" s="4" t="inlineStr">
        <is>
          <t>币种</t>
        </is>
      </c>
      <c r="B31" s="4" t="inlineStr">
        <is>
          <t>原币合计</t>
        </is>
      </c>
      <c r="C31" s="4" t="inlineStr">
        <is>
          <t>折人民币</t>
        </is>
      </c>
    </row>
    <row r="32">
      <c r="A32" s="6" t="inlineStr">
        <is>
          <t>CNY</t>
        </is>
      </c>
      <c r="B32" s="25">
        <f>SUMIFS(费用明细!$H$15:$H$57,费用明细!$F$15:$F$57,$A32)</f>
        <v/>
      </c>
      <c r="C32" s="21">
        <f>SUMIFS(费用明细!$J$15:$J$57,费用明细!$F$15:$F$57,$A32)</f>
        <v/>
      </c>
    </row>
    <row r="33">
      <c r="A33" s="6" t="inlineStr">
        <is>
          <t>USD</t>
        </is>
      </c>
      <c r="B33" s="25">
        <f>SUMIFS(费用明细!$H$15:$H$57,费用明细!$F$15:$F$57,$A33)</f>
        <v/>
      </c>
      <c r="C33" s="21">
        <f>SUMIFS(费用明细!$J$15:$J$57,费用明细!$F$15:$F$57,$A33)</f>
        <v/>
      </c>
    </row>
    <row r="34">
      <c r="A34" s="6" t="inlineStr">
        <is>
          <t>GEL</t>
        </is>
      </c>
      <c r="B34" s="25">
        <f>SUMIFS(费用明细!$H$15:$H$57,费用明细!$F$15:$F$57,$A34)</f>
        <v/>
      </c>
      <c r="C34" s="21">
        <f>SUMIFS(费用明细!$J$15:$J$57,费用明细!$F$15:$F$57,$A34)</f>
        <v/>
      </c>
    </row>
    <row r="35">
      <c r="A35" s="6" t="inlineStr">
        <is>
          <t>AMD</t>
        </is>
      </c>
      <c r="B35" s="25">
        <f>SUMIFS(费用明细!$H$15:$H$57,费用明细!$F$15:$F$57,$A35)</f>
        <v/>
      </c>
      <c r="C35" s="21">
        <f>SUMIFS(费用明细!$J$15:$J$57,费用明细!$F$15:$F$57,$A35)</f>
        <v/>
      </c>
    </row>
    <row r="36">
      <c r="A36" s="6" t="inlineStr">
        <is>
          <t>UZS</t>
        </is>
      </c>
      <c r="B36" s="25">
        <f>SUMIFS(费用明细!$H$15:$H$57,费用明细!$F$15:$F$57,$A36)</f>
        <v/>
      </c>
      <c r="C36" s="21">
        <f>SUMIFS(费用明细!$J$15:$J$57,费用明细!$F$15:$F$57,$A36)</f>
        <v/>
      </c>
    </row>
    <row r="38">
      <c r="A38" s="26" t="inlineStr">
        <is>
          <t>总计</t>
        </is>
      </c>
      <c r="B38" s="27">
        <f>费用明细!$J$58</f>
        <v/>
      </c>
    </row>
    <row r="39">
      <c r="A39" s="3" t="inlineStr">
        <is>
          <t>人均（2 人）</t>
        </is>
      </c>
      <c r="B39" s="28">
        <f>费用明细!$J$58/2</f>
        <v/>
      </c>
    </row>
    <row r="40">
      <c r="A40" s="3" t="inlineStr">
        <is>
          <t>剩余待付（不含已付）</t>
        </is>
      </c>
      <c r="B40" s="28">
        <f>费用明细!$J$58-SUMIFS(费用明细!$J$15:$J$57,费用明细!$K$15:$K$57,"已付")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2026-09-06T10:46:53Z</dcterms:created>
  <dcterms:modified xsi:type="dcterms:W3CDTF">2026-09-06T10:46:53Z</dcterms:modified>
</cp:coreProperties>
</file>